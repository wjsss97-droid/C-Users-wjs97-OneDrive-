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mercial Invoice" sheetId="1" state="visible" r:id="rId3"/>
    <sheet name="Packing List" sheetId="2" state="visible" r:id="rId4"/>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E23" authorId="0">
      <text>
        <r>
          <rPr>
            <sz val="10"/>
            <rFont val="Arial"/>
            <family val="2"/>
          </rPr>
          <t xml:space="preserve">N.W. = 0.2 kg/EA x 2 EA (per CEO)</t>
        </r>
      </text>
    </comment>
    <comment ref="F23" authorId="0">
      <text>
        <r>
          <rPr>
            <sz val="10"/>
            <rFont val="Arial"/>
            <family val="2"/>
          </rPr>
          <t xml:space="preserve">G.W. incl. packing, actual weight per CEO</t>
        </r>
      </text>
    </comment>
    <comment ref="G23" authorId="0">
      <text>
        <r>
          <rPr>
            <sz val="10"/>
            <rFont val="Arial"/>
            <family val="2"/>
          </rPr>
          <t xml:space="preserve">21 x 14 x 14 cm carton</t>
        </r>
      </text>
    </comment>
  </commentList>
</comments>
</file>

<file path=xl/sharedStrings.xml><?xml version="1.0" encoding="utf-8"?>
<sst xmlns="http://schemas.openxmlformats.org/spreadsheetml/2006/main" count="114" uniqueCount="63">
  <si>
    <t xml:space="preserve">COMMERCIAL INVOICE</t>
  </si>
  <si>
    <t xml:space="preserve">Shipper / Exporter</t>
  </si>
  <si>
    <t xml:space="preserve">GUNIL INDUSTRY CO., LTD.</t>
  </si>
  <si>
    <t xml:space="preserve">Invoice No.</t>
  </si>
  <si>
    <t xml:space="preserve">GI-INV-20261015-01</t>
  </si>
  <si>
    <t xml:space="preserve">166, Saneopdanji 5-ro, Eomo-myeon, Gimcheon-si,</t>
  </si>
  <si>
    <t xml:space="preserve">Date</t>
  </si>
  <si>
    <t xml:space="preserve">2026-10-15</t>
  </si>
  <si>
    <t xml:space="preserve">Gyeongsangbuk-do, 39506, Republic of Korea</t>
  </si>
  <si>
    <t xml:space="preserve">Customer PO No.</t>
  </si>
  <si>
    <t xml:space="preserve">2026101501</t>
  </si>
  <si>
    <t xml:space="preserve">Business Reg. No.: 186-86-00900</t>
  </si>
  <si>
    <t xml:space="preserve">PO Date</t>
  </si>
  <si>
    <t xml:space="preserve">T. +82 10-9490-8977   E. gunil@gun1.co.kr</t>
  </si>
  <si>
    <t xml:space="preserve">Consignee / Sold To</t>
  </si>
  <si>
    <t xml:space="preserve">Notify / Ship To</t>
  </si>
  <si>
    <t xml:space="preserve">JJWORLDTRADE</t>
  </si>
  <si>
    <t xml:space="preserve">1261 N. Patt St</t>
  </si>
  <si>
    <t xml:space="preserve">Anaheim, CA 92801, USA</t>
  </si>
  <si>
    <t xml:space="preserve">Attn: Kevin Ham</t>
  </si>
  <si>
    <t xml:space="preserve">T. +1 562-964-3573</t>
  </si>
  <si>
    <t xml:space="preserve">Incoterms</t>
  </si>
  <si>
    <t xml:space="preserve">DDP Anaheim, CA (Incoterms 2020)</t>
  </si>
  <si>
    <t xml:space="preserve">Payment Terms</t>
  </si>
  <si>
    <t xml:space="preserve">T/T 100% Prepaid</t>
  </si>
  <si>
    <t xml:space="preserve">Ship Via</t>
  </si>
  <si>
    <t xml:space="preserve">DHL Express (Duties &amp; Taxes Paid by Shipper)</t>
  </si>
  <si>
    <t xml:space="preserve">Country of Origin</t>
  </si>
  <si>
    <t xml:space="preserve">Republic of Korea</t>
  </si>
  <si>
    <t xml:space="preserve">Port of Loading</t>
  </si>
  <si>
    <t xml:space="preserve">Incheon, Korea</t>
  </si>
  <si>
    <t xml:space="preserve">Final Destination</t>
  </si>
  <si>
    <t xml:space="preserve">Anaheim, CA, USA</t>
  </si>
  <si>
    <t xml:space="preserve">No.</t>
  </si>
  <si>
    <t xml:space="preserve">Description of Goods</t>
  </si>
  <si>
    <t xml:space="preserve">HS Code</t>
  </si>
  <si>
    <t xml:space="preserve">Origin</t>
  </si>
  <si>
    <t xml:space="preserve">Q'ty</t>
  </si>
  <si>
    <t xml:space="preserve">Unit</t>
  </si>
  <si>
    <t xml:space="preserve">Unit Price (USD)</t>
  </si>
  <si>
    <t xml:space="preserve">Amount (USD)</t>
  </si>
  <si>
    <t xml:space="preserve">Precision-machined plastic part, PEEK (Polyether ether ketone), specially designed for semiconductor manufacturing equipment (sample for qualification) / Part No. GI-PK-261015-01</t>
  </si>
  <si>
    <t xml:space="preserve">8486.90</t>
  </si>
  <si>
    <t xml:space="preserve">KOREA</t>
  </si>
  <si>
    <t xml:space="preserve">EA</t>
  </si>
  <si>
    <t xml:space="preserve">TOTAL</t>
  </si>
  <si>
    <t xml:space="preserve">Declaration: We hereby certify that this invoice shows the actual price of the goods described, that all particulars are true and correct, and that the goods are of Republic of Korea origin. Goods are new, commercial merchandise sold for USD 2,000.00 (prepaid); not a gift. Terms: DDP — all duties, taxes and customs fees for the account of the shipper.</t>
  </si>
  <si>
    <t xml:space="preserve">Authorized Signature: ____________________</t>
  </si>
  <si>
    <t xml:space="preserve">JEON JONG WON / CEO      Date: 2026-10-15</t>
  </si>
  <si>
    <t xml:space="preserve">PACKING LIST</t>
  </si>
  <si>
    <t xml:space="preserve">Packing List No.</t>
  </si>
  <si>
    <t xml:space="preserve">GI-PL-20261015-01</t>
  </si>
  <si>
    <t xml:space="preserve">C/No.</t>
  </si>
  <si>
    <t xml:space="preserve">Q'ty (EA)</t>
  </si>
  <si>
    <t xml:space="preserve">N.W. (kg)</t>
  </si>
  <si>
    <t xml:space="preserve">G.W. (kg)</t>
  </si>
  <si>
    <t xml:space="preserve">CBM</t>
  </si>
  <si>
    <t xml:space="preserve">Dimension (cm)</t>
  </si>
  <si>
    <t xml:space="preserve">1</t>
  </si>
  <si>
    <t xml:space="preserve">21 x 14 x 14</t>
  </si>
  <si>
    <t xml:space="preserve">TOTAL: 1 CTN</t>
  </si>
  <si>
    <t xml:space="preserve">Shipping Mark:  JJWORLDTRADE / ANAHEIM, CA / PO No. 2026101501 / C/No. 1 of 1 / MADE IN KOREA</t>
  </si>
  <si>
    <t xml:space="preserve">We hereby certify that the above particulars are true and correct.</t>
  </si>
</sst>
</file>

<file path=xl/styles.xml><?xml version="1.0" encoding="utf-8"?>
<styleSheet xmlns="http://schemas.openxmlformats.org/spreadsheetml/2006/main">
  <numFmts count="6">
    <numFmt numFmtId="164" formatCode="General"/>
    <numFmt numFmtId="165" formatCode="#,##0.00"/>
    <numFmt numFmtId="166" formatCode="General"/>
    <numFmt numFmtId="167" formatCode="&quot;USD &quot;#,##0.00"/>
    <numFmt numFmtId="168" formatCode="0.00"/>
    <numFmt numFmtId="169" formatCode="0.0000"/>
  </numFmts>
  <fonts count="8">
    <font>
      <sz val="11"/>
      <color theme="1"/>
      <name val="Calibri"/>
      <family val="2"/>
      <charset val="1"/>
    </font>
    <font>
      <sz val="10"/>
      <name val="Arial"/>
      <family val="0"/>
    </font>
    <font>
      <sz val="10"/>
      <name val="Arial"/>
      <family val="0"/>
    </font>
    <font>
      <sz val="10"/>
      <name val="Arial"/>
      <family val="0"/>
    </font>
    <font>
      <b val="true"/>
      <sz val="20"/>
      <name val="Cambria"/>
      <family val="0"/>
      <charset val="1"/>
    </font>
    <font>
      <b val="true"/>
      <sz val="11"/>
      <name val="Cambria"/>
      <family val="0"/>
      <charset val="1"/>
    </font>
    <font>
      <sz val="9"/>
      <name val="Cambria"/>
      <family val="0"/>
      <charset val="1"/>
    </font>
    <font>
      <sz val="10"/>
      <name val="Arial"/>
      <family val="2"/>
    </font>
  </fonts>
  <fills count="3">
    <fill>
      <patternFill patternType="none"/>
    </fill>
    <fill>
      <patternFill patternType="gray125"/>
    </fill>
    <fill>
      <patternFill patternType="solid">
        <fgColor rgb="FFFCE4D6"/>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5" fontId="0" fillId="0" borderId="1" xfId="0" applyFont="fals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center" textRotation="0" wrapText="true" indent="0" shrinkToFit="false"/>
      <protection locked="true" hidden="false"/>
    </xf>
    <xf numFmtId="169" fontId="0" fillId="0" borderId="1" xfId="0" applyFont="false" applyBorder="true" applyAlignment="true" applyProtection="false">
      <alignment horizontal="center" vertical="center" textRotation="0" wrapText="true" indent="0" shrinkToFit="false"/>
      <protection locked="true" hidden="false"/>
    </xf>
    <xf numFmtId="168" fontId="5" fillId="0" borderId="1" xfId="0" applyFont="true" applyBorder="true" applyAlignment="true" applyProtection="false">
      <alignment horizontal="center" vertical="center" textRotation="0" wrapText="true" indent="0" shrinkToFit="false"/>
      <protection locked="true" hidden="false"/>
    </xf>
    <xf numFmtId="169" fontId="5"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4"/>
    <col collapsed="false" customWidth="true" hidden="false" outlineLevel="0" max="3" min="3" style="1" width="12"/>
    <col collapsed="false" customWidth="true" hidden="false" outlineLevel="0" max="4" min="4" style="1" width="10"/>
    <col collapsed="false" customWidth="true" hidden="false" outlineLevel="0" max="6" min="5" style="1" width="8"/>
    <col collapsed="false" customWidth="true" hidden="false" outlineLevel="0" max="7" min="7" style="1" width="14"/>
    <col collapsed="false" customWidth="true" hidden="false" outlineLevel="0" max="8" min="8" style="1" width="16"/>
  </cols>
  <sheetData>
    <row r="1" customFormat="false" ht="33.75" hidden="false" customHeight="true" outlineLevel="0" collapsed="false">
      <c r="A1" s="2" t="s">
        <v>0</v>
      </c>
      <c r="B1" s="2"/>
      <c r="C1" s="2"/>
      <c r="D1" s="2"/>
      <c r="E1" s="2"/>
      <c r="F1" s="2"/>
      <c r="G1" s="2"/>
      <c r="H1" s="2"/>
    </row>
    <row r="3" customFormat="false" ht="15" hidden="false" customHeight="true" outlineLevel="0" collapsed="false">
      <c r="A3" s="3" t="s">
        <v>1</v>
      </c>
      <c r="B3" s="3"/>
      <c r="C3" s="3"/>
      <c r="D3" s="3"/>
    </row>
    <row r="4" customFormat="false" ht="15" hidden="false" customHeight="true" outlineLevel="0" collapsed="false">
      <c r="A4" s="4" t="s">
        <v>2</v>
      </c>
      <c r="B4" s="4"/>
      <c r="C4" s="4"/>
      <c r="D4" s="4"/>
      <c r="E4" s="5" t="s">
        <v>3</v>
      </c>
      <c r="F4" s="5"/>
      <c r="G4" s="6" t="s">
        <v>4</v>
      </c>
      <c r="H4" s="6"/>
    </row>
    <row r="5" customFormat="false" ht="15" hidden="false" customHeight="true" outlineLevel="0" collapsed="false">
      <c r="A5" s="4" t="s">
        <v>5</v>
      </c>
      <c r="B5" s="4"/>
      <c r="C5" s="4"/>
      <c r="D5" s="4"/>
      <c r="E5" s="5" t="s">
        <v>6</v>
      </c>
      <c r="F5" s="5"/>
      <c r="G5" s="6" t="s">
        <v>7</v>
      </c>
      <c r="H5" s="6"/>
    </row>
    <row r="6" customFormat="false" ht="27.75" hidden="false" customHeight="true" outlineLevel="0" collapsed="false">
      <c r="A6" s="4" t="s">
        <v>8</v>
      </c>
      <c r="B6" s="4"/>
      <c r="C6" s="4"/>
      <c r="D6" s="4"/>
      <c r="E6" s="5" t="s">
        <v>9</v>
      </c>
      <c r="F6" s="5"/>
      <c r="G6" s="6" t="s">
        <v>10</v>
      </c>
      <c r="H6" s="6"/>
    </row>
    <row r="7" customFormat="false" ht="15" hidden="false" customHeight="true" outlineLevel="0" collapsed="false">
      <c r="A7" s="4" t="s">
        <v>11</v>
      </c>
      <c r="B7" s="4"/>
      <c r="C7" s="4"/>
      <c r="D7" s="4"/>
      <c r="E7" s="5" t="s">
        <v>12</v>
      </c>
      <c r="F7" s="5"/>
      <c r="G7" s="6" t="s">
        <v>7</v>
      </c>
      <c r="H7" s="6"/>
    </row>
    <row r="8" customFormat="false" ht="15" hidden="false" customHeight="true" outlineLevel="0" collapsed="false">
      <c r="A8" s="4" t="s">
        <v>13</v>
      </c>
      <c r="B8" s="4"/>
      <c r="C8" s="4"/>
      <c r="D8" s="4"/>
    </row>
    <row r="10" customFormat="false" ht="15" hidden="false" customHeight="true" outlineLevel="0" collapsed="false">
      <c r="A10" s="3" t="s">
        <v>14</v>
      </c>
      <c r="B10" s="3"/>
      <c r="C10" s="3"/>
      <c r="D10" s="3"/>
      <c r="E10" s="3" t="s">
        <v>15</v>
      </c>
      <c r="F10" s="3"/>
      <c r="G10" s="3"/>
      <c r="H10" s="3"/>
    </row>
    <row r="11" customFormat="false" ht="15" hidden="false" customHeight="true" outlineLevel="0" collapsed="false">
      <c r="A11" s="4" t="s">
        <v>16</v>
      </c>
      <c r="B11" s="4"/>
      <c r="C11" s="4"/>
      <c r="D11" s="4"/>
      <c r="E11" s="4" t="s">
        <v>16</v>
      </c>
      <c r="F11" s="4"/>
      <c r="G11" s="4"/>
      <c r="H11" s="4"/>
    </row>
    <row r="12" customFormat="false" ht="15" hidden="false" customHeight="true" outlineLevel="0" collapsed="false">
      <c r="A12" s="4" t="s">
        <v>17</v>
      </c>
      <c r="B12" s="4"/>
      <c r="C12" s="4"/>
      <c r="D12" s="4"/>
      <c r="E12" s="4" t="s">
        <v>17</v>
      </c>
      <c r="F12" s="4"/>
      <c r="G12" s="4"/>
      <c r="H12" s="4"/>
    </row>
    <row r="13" customFormat="false" ht="15" hidden="false" customHeight="true" outlineLevel="0" collapsed="false">
      <c r="A13" s="4" t="s">
        <v>18</v>
      </c>
      <c r="B13" s="4"/>
      <c r="C13" s="4"/>
      <c r="D13" s="4"/>
      <c r="E13" s="4" t="s">
        <v>18</v>
      </c>
      <c r="F13" s="4"/>
      <c r="G13" s="4"/>
      <c r="H13" s="4"/>
    </row>
    <row r="14" customFormat="false" ht="15" hidden="false" customHeight="true" outlineLevel="0" collapsed="false">
      <c r="A14" s="4" t="s">
        <v>19</v>
      </c>
      <c r="B14" s="4"/>
      <c r="C14" s="4"/>
      <c r="D14" s="4"/>
      <c r="E14" s="4" t="s">
        <v>19</v>
      </c>
      <c r="F14" s="4"/>
      <c r="G14" s="4"/>
      <c r="H14" s="4"/>
    </row>
    <row r="15" customFormat="false" ht="15" hidden="false" customHeight="true" outlineLevel="0" collapsed="false">
      <c r="A15" s="4" t="s">
        <v>20</v>
      </c>
      <c r="B15" s="4"/>
      <c r="C15" s="4"/>
      <c r="D15" s="4"/>
      <c r="E15" s="4" t="s">
        <v>20</v>
      </c>
      <c r="F15" s="4"/>
      <c r="G15" s="4"/>
      <c r="H15" s="4"/>
    </row>
    <row r="16" customFormat="false" ht="15" hidden="false" customHeight="true" outlineLevel="0" collapsed="false">
      <c r="A16" s="4"/>
      <c r="B16" s="4"/>
      <c r="C16" s="4"/>
      <c r="D16" s="4"/>
    </row>
    <row r="18" customFormat="false" ht="27.75" hidden="false" customHeight="true" outlineLevel="0" collapsed="false">
      <c r="A18" s="5" t="s">
        <v>21</v>
      </c>
      <c r="B18" s="5"/>
      <c r="C18" s="6" t="s">
        <v>22</v>
      </c>
      <c r="D18" s="6"/>
      <c r="E18" s="5" t="s">
        <v>23</v>
      </c>
      <c r="F18" s="5"/>
      <c r="G18" s="6" t="s">
        <v>24</v>
      </c>
      <c r="H18" s="6"/>
    </row>
    <row r="19" customFormat="false" ht="27.75" hidden="false" customHeight="true" outlineLevel="0" collapsed="false">
      <c r="A19" s="5" t="s">
        <v>25</v>
      </c>
      <c r="B19" s="5"/>
      <c r="C19" s="6" t="s">
        <v>26</v>
      </c>
      <c r="D19" s="6"/>
      <c r="E19" s="5" t="s">
        <v>27</v>
      </c>
      <c r="F19" s="5"/>
      <c r="G19" s="6" t="s">
        <v>28</v>
      </c>
      <c r="H19" s="6"/>
    </row>
    <row r="20" customFormat="false" ht="27.75" hidden="false" customHeight="true" outlineLevel="0" collapsed="false">
      <c r="A20" s="5" t="s">
        <v>29</v>
      </c>
      <c r="B20" s="5"/>
      <c r="C20" s="6" t="s">
        <v>30</v>
      </c>
      <c r="D20" s="6"/>
      <c r="E20" s="5" t="s">
        <v>31</v>
      </c>
      <c r="F20" s="5"/>
      <c r="G20" s="6" t="s">
        <v>32</v>
      </c>
      <c r="H20" s="6"/>
    </row>
    <row r="22" customFormat="false" ht="27.75" hidden="false" customHeight="true" outlineLevel="0" collapsed="false">
      <c r="A22" s="5" t="s">
        <v>33</v>
      </c>
      <c r="B22" s="5" t="s">
        <v>34</v>
      </c>
      <c r="C22" s="5" t="s">
        <v>35</v>
      </c>
      <c r="D22" s="5" t="s">
        <v>36</v>
      </c>
      <c r="E22" s="5" t="s">
        <v>37</v>
      </c>
      <c r="F22" s="5" t="s">
        <v>38</v>
      </c>
      <c r="G22" s="5" t="s">
        <v>39</v>
      </c>
      <c r="H22" s="5" t="s">
        <v>40</v>
      </c>
    </row>
    <row r="23" customFormat="false" ht="90" hidden="false" customHeight="true" outlineLevel="0" collapsed="false">
      <c r="A23" s="7" t="n">
        <v>1</v>
      </c>
      <c r="B23" s="4" t="s">
        <v>41</v>
      </c>
      <c r="C23" s="7" t="s">
        <v>42</v>
      </c>
      <c r="D23" s="7" t="s">
        <v>43</v>
      </c>
      <c r="E23" s="7" t="n">
        <v>2</v>
      </c>
      <c r="F23" s="7" t="s">
        <v>44</v>
      </c>
      <c r="G23" s="8" t="n">
        <v>1000</v>
      </c>
      <c r="H23" s="8" t="n">
        <f aca="false">E23*G23</f>
        <v>2000</v>
      </c>
    </row>
    <row r="24" customFormat="false" ht="15" hidden="false" customHeight="true" outlineLevel="0" collapsed="false">
      <c r="A24" s="9" t="s">
        <v>45</v>
      </c>
      <c r="B24" s="9"/>
      <c r="C24" s="9"/>
      <c r="D24" s="9"/>
      <c r="E24" s="10" t="n">
        <f aca="false">SUM(E23:E23)</f>
        <v>2</v>
      </c>
      <c r="F24" s="10" t="s">
        <v>44</v>
      </c>
      <c r="G24" s="10"/>
      <c r="H24" s="11" t="n">
        <f aca="false">SUM(H23:H23)</f>
        <v>2000</v>
      </c>
    </row>
    <row r="26" customFormat="false" ht="15" hidden="false" customHeight="true" outlineLevel="0" collapsed="false">
      <c r="A26" s="12" t="s">
        <v>46</v>
      </c>
      <c r="B26" s="12"/>
      <c r="C26" s="12"/>
      <c r="D26" s="12"/>
      <c r="E26" s="12"/>
      <c r="F26" s="12"/>
      <c r="G26" s="12"/>
      <c r="H26" s="12"/>
    </row>
    <row r="27" customFormat="false" ht="15" hidden="false" customHeight="true" outlineLevel="0" collapsed="false">
      <c r="A27" s="12"/>
      <c r="B27" s="12"/>
      <c r="C27" s="12"/>
      <c r="D27" s="12"/>
      <c r="E27" s="12"/>
      <c r="F27" s="12"/>
      <c r="G27" s="12"/>
      <c r="H27" s="12"/>
    </row>
    <row r="28" customFormat="false" ht="15" hidden="false" customHeight="true" outlineLevel="0" collapsed="false">
      <c r="A28" s="12"/>
      <c r="B28" s="12"/>
      <c r="C28" s="12"/>
      <c r="D28" s="12"/>
      <c r="E28" s="12"/>
      <c r="F28" s="12"/>
      <c r="G28" s="12"/>
      <c r="H28" s="12"/>
    </row>
    <row r="30" customFormat="false" ht="15" hidden="false" customHeight="true" outlineLevel="0" collapsed="false">
      <c r="E30" s="13" t="s">
        <v>2</v>
      </c>
      <c r="F30" s="13"/>
      <c r="G30" s="13"/>
      <c r="H30" s="13"/>
    </row>
    <row r="33" customFormat="false" ht="15" hidden="false" customHeight="true" outlineLevel="0" collapsed="false">
      <c r="E33" s="14" t="s">
        <v>47</v>
      </c>
      <c r="F33" s="14"/>
      <c r="G33" s="14"/>
      <c r="H33" s="14"/>
    </row>
    <row r="34" customFormat="false" ht="15" hidden="false" customHeight="true" outlineLevel="0" collapsed="false">
      <c r="E34" s="14" t="s">
        <v>48</v>
      </c>
      <c r="F34" s="14"/>
      <c r="G34" s="14"/>
      <c r="H34" s="14"/>
    </row>
  </sheetData>
  <mergeCells count="45">
    <mergeCell ref="A1:H1"/>
    <mergeCell ref="A3:D3"/>
    <mergeCell ref="A4:D4"/>
    <mergeCell ref="E4:F4"/>
    <mergeCell ref="G4:H4"/>
    <mergeCell ref="A5:D5"/>
    <mergeCell ref="E5:F5"/>
    <mergeCell ref="G5:H5"/>
    <mergeCell ref="A6:D6"/>
    <mergeCell ref="E6:F6"/>
    <mergeCell ref="G6:H6"/>
    <mergeCell ref="A7:D7"/>
    <mergeCell ref="E7:F7"/>
    <mergeCell ref="G7:H7"/>
    <mergeCell ref="A8:D8"/>
    <mergeCell ref="A10:D10"/>
    <mergeCell ref="E10:H10"/>
    <mergeCell ref="A11:D11"/>
    <mergeCell ref="E11:H11"/>
    <mergeCell ref="A12:D12"/>
    <mergeCell ref="E12:H12"/>
    <mergeCell ref="A13:D13"/>
    <mergeCell ref="E13:H13"/>
    <mergeCell ref="A14:D14"/>
    <mergeCell ref="E14:H14"/>
    <mergeCell ref="A15:D15"/>
    <mergeCell ref="E15:H15"/>
    <mergeCell ref="A16:D16"/>
    <mergeCell ref="A18:B18"/>
    <mergeCell ref="C18:D18"/>
    <mergeCell ref="E18:F18"/>
    <mergeCell ref="G18:H18"/>
    <mergeCell ref="A19:B19"/>
    <mergeCell ref="C19:D19"/>
    <mergeCell ref="E19:F19"/>
    <mergeCell ref="G19:H19"/>
    <mergeCell ref="A20:B20"/>
    <mergeCell ref="C20:D20"/>
    <mergeCell ref="E20:F20"/>
    <mergeCell ref="G20:H20"/>
    <mergeCell ref="A24:D24"/>
    <mergeCell ref="A26:H28"/>
    <mergeCell ref="E30:H30"/>
    <mergeCell ref="E33:H33"/>
    <mergeCell ref="E34:H34"/>
  </mergeCells>
  <printOptions headings="false" gridLines="false" gridLinesSet="true" horizontalCentered="false" verticalCentered="false"/>
  <pageMargins left="0.4" right="0.4" top="0.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4"/>
    <col collapsed="false" customWidth="true" hidden="false" outlineLevel="0" max="3" min="3" style="1" width="10"/>
    <col collapsed="false" customWidth="true" hidden="false" outlineLevel="0" max="4" min="4" style="1" width="8"/>
    <col collapsed="false" customWidth="true" hidden="false" outlineLevel="0" max="7" min="5" style="1" width="10"/>
    <col collapsed="false" customWidth="true" hidden="false" outlineLevel="0" max="8" min="8" style="1" width="18"/>
  </cols>
  <sheetData>
    <row r="1" customFormat="false" ht="33.75" hidden="false" customHeight="true" outlineLevel="0" collapsed="false">
      <c r="A1" s="2" t="s">
        <v>49</v>
      </c>
      <c r="B1" s="2"/>
      <c r="C1" s="2"/>
      <c r="D1" s="2"/>
      <c r="E1" s="2"/>
      <c r="F1" s="2"/>
      <c r="G1" s="2"/>
      <c r="H1" s="2"/>
    </row>
    <row r="3" customFormat="false" ht="15" hidden="false" customHeight="true" outlineLevel="0" collapsed="false">
      <c r="A3" s="3" t="s">
        <v>1</v>
      </c>
      <c r="B3" s="3"/>
      <c r="C3" s="3"/>
      <c r="D3" s="3"/>
    </row>
    <row r="4" customFormat="false" ht="15" hidden="false" customHeight="true" outlineLevel="0" collapsed="false">
      <c r="A4" s="4" t="s">
        <v>2</v>
      </c>
      <c r="B4" s="4"/>
      <c r="C4" s="4"/>
      <c r="D4" s="4"/>
      <c r="E4" s="5" t="s">
        <v>50</v>
      </c>
      <c r="F4" s="5"/>
      <c r="G4" s="6" t="s">
        <v>51</v>
      </c>
      <c r="H4" s="6"/>
    </row>
    <row r="5" customFormat="false" ht="15" hidden="false" customHeight="true" outlineLevel="0" collapsed="false">
      <c r="A5" s="4" t="s">
        <v>5</v>
      </c>
      <c r="B5" s="4"/>
      <c r="C5" s="4"/>
      <c r="D5" s="4"/>
      <c r="E5" s="5" t="s">
        <v>6</v>
      </c>
      <c r="F5" s="5"/>
      <c r="G5" s="6" t="s">
        <v>7</v>
      </c>
      <c r="H5" s="6"/>
    </row>
    <row r="6" customFormat="false" ht="15" hidden="false" customHeight="true" outlineLevel="0" collapsed="false">
      <c r="A6" s="4" t="s">
        <v>8</v>
      </c>
      <c r="B6" s="4"/>
      <c r="C6" s="4"/>
      <c r="D6" s="4"/>
      <c r="E6" s="5" t="s">
        <v>9</v>
      </c>
      <c r="F6" s="5"/>
      <c r="G6" s="6" t="s">
        <v>10</v>
      </c>
      <c r="H6" s="6"/>
    </row>
    <row r="7" customFormat="false" ht="15" hidden="false" customHeight="true" outlineLevel="0" collapsed="false">
      <c r="A7" s="4" t="s">
        <v>11</v>
      </c>
      <c r="B7" s="4"/>
      <c r="C7" s="4"/>
      <c r="D7" s="4"/>
      <c r="E7" s="5" t="s">
        <v>12</v>
      </c>
      <c r="F7" s="5"/>
      <c r="G7" s="6" t="s">
        <v>7</v>
      </c>
      <c r="H7" s="6"/>
    </row>
    <row r="8" customFormat="false" ht="15" hidden="false" customHeight="true" outlineLevel="0" collapsed="false">
      <c r="A8" s="4" t="s">
        <v>13</v>
      </c>
      <c r="B8" s="4"/>
      <c r="C8" s="4"/>
      <c r="D8" s="4"/>
    </row>
    <row r="10" customFormat="false" ht="15" hidden="false" customHeight="true" outlineLevel="0" collapsed="false">
      <c r="A10" s="3" t="s">
        <v>14</v>
      </c>
      <c r="B10" s="3"/>
      <c r="C10" s="3"/>
      <c r="D10" s="3"/>
      <c r="E10" s="3" t="s">
        <v>15</v>
      </c>
      <c r="F10" s="3"/>
      <c r="G10" s="3"/>
      <c r="H10" s="3"/>
    </row>
    <row r="11" customFormat="false" ht="15" hidden="false" customHeight="true" outlineLevel="0" collapsed="false">
      <c r="A11" s="4" t="s">
        <v>16</v>
      </c>
      <c r="B11" s="4"/>
      <c r="C11" s="4"/>
      <c r="D11" s="4"/>
      <c r="E11" s="4" t="s">
        <v>16</v>
      </c>
      <c r="F11" s="4"/>
      <c r="G11" s="4"/>
      <c r="H11" s="4"/>
    </row>
    <row r="12" customFormat="false" ht="15" hidden="false" customHeight="true" outlineLevel="0" collapsed="false">
      <c r="A12" s="4" t="s">
        <v>17</v>
      </c>
      <c r="B12" s="4"/>
      <c r="C12" s="4"/>
      <c r="D12" s="4"/>
      <c r="E12" s="4" t="s">
        <v>17</v>
      </c>
      <c r="F12" s="4"/>
      <c r="G12" s="4"/>
      <c r="H12" s="4"/>
    </row>
    <row r="13" customFormat="false" ht="15" hidden="false" customHeight="true" outlineLevel="0" collapsed="false">
      <c r="A13" s="4" t="s">
        <v>18</v>
      </c>
      <c r="B13" s="4"/>
      <c r="C13" s="4"/>
      <c r="D13" s="4"/>
      <c r="E13" s="4" t="s">
        <v>18</v>
      </c>
      <c r="F13" s="4"/>
      <c r="G13" s="4"/>
      <c r="H13" s="4"/>
    </row>
    <row r="14" customFormat="false" ht="15" hidden="false" customHeight="true" outlineLevel="0" collapsed="false">
      <c r="A14" s="4" t="s">
        <v>19</v>
      </c>
      <c r="B14" s="4"/>
      <c r="C14" s="4"/>
      <c r="D14" s="4"/>
      <c r="E14" s="4" t="s">
        <v>19</v>
      </c>
      <c r="F14" s="4"/>
      <c r="G14" s="4"/>
      <c r="H14" s="4"/>
    </row>
    <row r="15" customFormat="false" ht="15" hidden="false" customHeight="true" outlineLevel="0" collapsed="false">
      <c r="A15" s="4" t="s">
        <v>20</v>
      </c>
      <c r="B15" s="4"/>
      <c r="C15" s="4"/>
      <c r="D15" s="4"/>
      <c r="E15" s="4" t="s">
        <v>20</v>
      </c>
      <c r="F15" s="4"/>
      <c r="G15" s="4"/>
      <c r="H15" s="4"/>
    </row>
    <row r="16" customFormat="false" ht="15" hidden="false" customHeight="true" outlineLevel="0" collapsed="false">
      <c r="A16" s="4"/>
      <c r="B16" s="4"/>
      <c r="C16" s="4"/>
      <c r="D16" s="4"/>
    </row>
    <row r="18" customFormat="false" ht="27.75" hidden="false" customHeight="true" outlineLevel="0" collapsed="false">
      <c r="A18" s="5" t="s">
        <v>21</v>
      </c>
      <c r="B18" s="5"/>
      <c r="C18" s="6" t="s">
        <v>22</v>
      </c>
      <c r="D18" s="6"/>
      <c r="E18" s="5" t="s">
        <v>23</v>
      </c>
      <c r="F18" s="5"/>
      <c r="G18" s="6" t="s">
        <v>24</v>
      </c>
      <c r="H18" s="6"/>
    </row>
    <row r="19" customFormat="false" ht="41.25" hidden="false" customHeight="true" outlineLevel="0" collapsed="false">
      <c r="A19" s="5" t="s">
        <v>25</v>
      </c>
      <c r="B19" s="5"/>
      <c r="C19" s="6" t="s">
        <v>26</v>
      </c>
      <c r="D19" s="6"/>
      <c r="E19" s="5" t="s">
        <v>27</v>
      </c>
      <c r="F19" s="5"/>
      <c r="G19" s="6" t="s">
        <v>28</v>
      </c>
      <c r="H19" s="6"/>
    </row>
    <row r="20" customFormat="false" ht="15" hidden="false" customHeight="true" outlineLevel="0" collapsed="false">
      <c r="A20" s="5" t="s">
        <v>29</v>
      </c>
      <c r="B20" s="5"/>
      <c r="C20" s="6" t="s">
        <v>30</v>
      </c>
      <c r="D20" s="6"/>
      <c r="E20" s="5" t="s">
        <v>31</v>
      </c>
      <c r="F20" s="5"/>
      <c r="G20" s="6" t="s">
        <v>32</v>
      </c>
      <c r="H20" s="6"/>
    </row>
    <row r="22" customFormat="false" ht="27.75" hidden="false" customHeight="true" outlineLevel="0" collapsed="false">
      <c r="A22" s="5" t="s">
        <v>52</v>
      </c>
      <c r="B22" s="5" t="s">
        <v>34</v>
      </c>
      <c r="C22" s="5" t="s">
        <v>35</v>
      </c>
      <c r="D22" s="5" t="s">
        <v>53</v>
      </c>
      <c r="E22" s="5" t="s">
        <v>54</v>
      </c>
      <c r="F22" s="5" t="s">
        <v>55</v>
      </c>
      <c r="G22" s="5" t="s">
        <v>56</v>
      </c>
      <c r="H22" s="5" t="s">
        <v>57</v>
      </c>
    </row>
    <row r="23" customFormat="false" ht="90" hidden="false" customHeight="true" outlineLevel="0" collapsed="false">
      <c r="A23" s="7" t="s">
        <v>58</v>
      </c>
      <c r="B23" s="4" t="s">
        <v>41</v>
      </c>
      <c r="C23" s="7" t="s">
        <v>42</v>
      </c>
      <c r="D23" s="7" t="n">
        <v>2</v>
      </c>
      <c r="E23" s="15" t="n">
        <v>0.4</v>
      </c>
      <c r="F23" s="15" t="n">
        <v>0.7</v>
      </c>
      <c r="G23" s="16" t="n">
        <f aca="false">ROUND(21*14*14/1000000,4)</f>
        <v>0.0041</v>
      </c>
      <c r="H23" s="7" t="s">
        <v>59</v>
      </c>
    </row>
    <row r="24" customFormat="false" ht="15" hidden="false" customHeight="true" outlineLevel="0" collapsed="false">
      <c r="A24" s="9" t="s">
        <v>60</v>
      </c>
      <c r="B24" s="9"/>
      <c r="C24" s="9"/>
      <c r="D24" s="10" t="n">
        <f aca="false">SUM(D23:D23)</f>
        <v>2</v>
      </c>
      <c r="E24" s="17" t="n">
        <f aca="false">SUM(E23:E23)</f>
        <v>0.4</v>
      </c>
      <c r="F24" s="17" t="n">
        <f aca="false">SUM(F23:F23)</f>
        <v>0.7</v>
      </c>
      <c r="G24" s="18" t="n">
        <f aca="false">SUM(G23:G23)</f>
        <v>0.0041</v>
      </c>
      <c r="H24" s="10"/>
    </row>
    <row r="26" customFormat="false" ht="15" hidden="false" customHeight="true" outlineLevel="0" collapsed="false">
      <c r="A26" s="13" t="s">
        <v>61</v>
      </c>
      <c r="B26" s="13"/>
      <c r="C26" s="13"/>
      <c r="D26" s="13"/>
      <c r="E26" s="13"/>
      <c r="F26" s="13"/>
      <c r="G26" s="13"/>
      <c r="H26" s="13"/>
    </row>
    <row r="28" customFormat="false" ht="15" hidden="false" customHeight="true" outlineLevel="0" collapsed="false">
      <c r="A28" s="12" t="s">
        <v>62</v>
      </c>
      <c r="B28" s="12"/>
      <c r="C28" s="12"/>
      <c r="D28" s="12"/>
      <c r="E28" s="12"/>
      <c r="F28" s="12"/>
      <c r="G28" s="12"/>
      <c r="H28" s="12"/>
    </row>
    <row r="29" customFormat="false" ht="15" hidden="false" customHeight="true" outlineLevel="0" collapsed="false">
      <c r="A29" s="12"/>
      <c r="B29" s="12"/>
      <c r="C29" s="12"/>
      <c r="D29" s="12"/>
      <c r="E29" s="12"/>
      <c r="F29" s="12"/>
      <c r="G29" s="12"/>
      <c r="H29" s="12"/>
    </row>
    <row r="30" customFormat="false" ht="15" hidden="false" customHeight="true" outlineLevel="0" collapsed="false">
      <c r="A30" s="12"/>
      <c r="B30" s="12"/>
      <c r="C30" s="12"/>
      <c r="D30" s="12"/>
      <c r="E30" s="12"/>
      <c r="F30" s="12"/>
      <c r="G30" s="12"/>
      <c r="H30" s="12"/>
    </row>
    <row r="32" customFormat="false" ht="15" hidden="false" customHeight="true" outlineLevel="0" collapsed="false">
      <c r="E32" s="13" t="s">
        <v>2</v>
      </c>
      <c r="F32" s="13"/>
      <c r="G32" s="13"/>
      <c r="H32" s="13"/>
    </row>
    <row r="35" customFormat="false" ht="15" hidden="false" customHeight="true" outlineLevel="0" collapsed="false">
      <c r="E35" s="14" t="s">
        <v>47</v>
      </c>
      <c r="F35" s="14"/>
      <c r="G35" s="14"/>
      <c r="H35" s="14"/>
    </row>
    <row r="36" customFormat="false" ht="15" hidden="false" customHeight="true" outlineLevel="0" collapsed="false">
      <c r="E36" s="14" t="s">
        <v>48</v>
      </c>
      <c r="F36" s="14"/>
      <c r="G36" s="14"/>
      <c r="H36" s="14"/>
    </row>
  </sheetData>
  <mergeCells count="46">
    <mergeCell ref="A1:H1"/>
    <mergeCell ref="A3:D3"/>
    <mergeCell ref="A4:D4"/>
    <mergeCell ref="E4:F4"/>
    <mergeCell ref="G4:H4"/>
    <mergeCell ref="A5:D5"/>
    <mergeCell ref="E5:F5"/>
    <mergeCell ref="G5:H5"/>
    <mergeCell ref="A6:D6"/>
    <mergeCell ref="E6:F6"/>
    <mergeCell ref="G6:H6"/>
    <mergeCell ref="A7:D7"/>
    <mergeCell ref="E7:F7"/>
    <mergeCell ref="G7:H7"/>
    <mergeCell ref="A8:D8"/>
    <mergeCell ref="A10:D10"/>
    <mergeCell ref="E10:H10"/>
    <mergeCell ref="A11:D11"/>
    <mergeCell ref="E11:H11"/>
    <mergeCell ref="A12:D12"/>
    <mergeCell ref="E12:H12"/>
    <mergeCell ref="A13:D13"/>
    <mergeCell ref="E13:H13"/>
    <mergeCell ref="A14:D14"/>
    <mergeCell ref="E14:H14"/>
    <mergeCell ref="A15:D15"/>
    <mergeCell ref="E15:H15"/>
    <mergeCell ref="A16:D16"/>
    <mergeCell ref="A18:B18"/>
    <mergeCell ref="C18:D18"/>
    <mergeCell ref="E18:F18"/>
    <mergeCell ref="G18:H18"/>
    <mergeCell ref="A19:B19"/>
    <mergeCell ref="C19:D19"/>
    <mergeCell ref="E19:F19"/>
    <mergeCell ref="G19:H19"/>
    <mergeCell ref="A20:B20"/>
    <mergeCell ref="C20:D20"/>
    <mergeCell ref="E20:F20"/>
    <mergeCell ref="G20:H20"/>
    <mergeCell ref="A24:C24"/>
    <mergeCell ref="A26:H26"/>
    <mergeCell ref="A28:H30"/>
    <mergeCell ref="E32:H32"/>
    <mergeCell ref="E35:H35"/>
    <mergeCell ref="E36:H36"/>
  </mergeCells>
  <printOptions headings="false" gridLines="false" gridLinesSet="true" horizontalCentered="false" verticalCentered="false"/>
  <pageMargins left="0.4" right="0.4" top="0.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2026-10-13T08:24:31Z</dcterms:created>
  <dc:creator>openpyxl</dc:creator>
  <dc:description/>
  <dc:language>en-US</dc:language>
  <cp:lastModifiedBy/>
  <dcterms:modified xsi:type="dcterms:W3CDTF">2026-10-14T04:12:05Z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